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WNLOAD\Downloads\"/>
    </mc:Choice>
  </mc:AlternateContent>
  <bookViews>
    <workbookView xWindow="0" yWindow="0" windowWidth="20325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9" i="1" l="1"/>
  <c r="E78" i="1"/>
  <c r="E77" i="1"/>
  <c r="E76" i="1"/>
  <c r="E75" i="1"/>
  <c r="E74" i="1"/>
  <c r="E73" i="1"/>
  <c r="E72" i="1"/>
  <c r="E71" i="1"/>
  <c r="E70" i="1"/>
  <c r="E69" i="1"/>
  <c r="E67" i="1"/>
  <c r="E66" i="1"/>
  <c r="E65" i="1"/>
  <c r="E64" i="1"/>
  <c r="E63" i="1"/>
  <c r="E62" i="1"/>
  <c r="E68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17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39" i="1" l="1"/>
  <c r="E80" i="1" s="1"/>
  <c r="E61" i="1"/>
  <c r="E81" i="1" l="1"/>
  <c r="E82" i="1" s="1"/>
</calcChain>
</file>

<file path=xl/sharedStrings.xml><?xml version="1.0" encoding="utf-8"?>
<sst xmlns="http://schemas.openxmlformats.org/spreadsheetml/2006/main" count="163" uniqueCount="80">
  <si>
    <t>unit</t>
  </si>
  <si>
    <t>QUANTITY</t>
  </si>
  <si>
    <t>Nr</t>
  </si>
  <si>
    <t>Installation and commissioning of materials LOT No 1</t>
  </si>
  <si>
    <t>m</t>
  </si>
  <si>
    <t>Roll</t>
  </si>
  <si>
    <t>Installation materials LOT No 1  </t>
  </si>
  <si>
    <t>1E +1J + 1D HORRIZONTAL END SUCTION PUMP COMPLETE WITH DRIVERS (MOTOR, &amp; DIESEL ENGINE) + 1 VERTICAL MULTISTAGE JOCKEY PUMP AND 1 NO. COMMON CONTROLLER FOR ELECTRIC DIESEL /JOCKEY/ (ENCLOSED IP 54) AND STANDARD ACCESSORIE, ALL MOUNTED ON INDIVUAL BASE </t>
  </si>
  <si>
    <t>set</t>
  </si>
  <si>
    <t>nr</t>
  </si>
  <si>
    <t>Hose reel 1” WITH cabinet mounted automatic No. 1</t>
  </si>
  <si>
    <t>Self-Standing Type Fire Hydrant cabinet, solid door, No. 12</t>
  </si>
  <si>
    <t>Schedule 40 galvanised PIPE 65mm Lm 400</t>
  </si>
  <si>
    <t>Schedule 40 galvanised ELBOW 65mm Lm 4</t>
  </si>
  <si>
    <t> Schedule 40 galvanised SOCKET 65mm No. 15</t>
  </si>
  <si>
    <t>Set of stickers. Set 1</t>
  </si>
  <si>
    <t>EARTH WORKS Sum 1</t>
  </si>
  <si>
    <t> CIVIL WORKS Sum 1  </t>
  </si>
  <si>
    <t>TOTAL</t>
  </si>
  <si>
    <t>VAT 18%</t>
  </si>
  <si>
    <t>GRAND TOTAL</t>
  </si>
  <si>
    <t>PRICE</t>
  </si>
  <si>
    <t>TOTAL PRICE</t>
  </si>
  <si>
    <t>DESCRIPTION</t>
  </si>
  <si>
    <t xml:space="preserve">Addressable Fire detection and alarm Main control panel to support at least 6 loops, LED to show specific zone status, LCD Display </t>
  </si>
  <si>
    <t xml:space="preserve">Addressable fire detection and alarm repeater control panel; capable of supporting two loops </t>
  </si>
  <si>
    <t xml:space="preserve">Addressable Optical smoke detector </t>
  </si>
  <si>
    <t xml:space="preserve">Addressable Optical Heat detector </t>
  </si>
  <si>
    <t xml:space="preserve">Addressable Manual call points('Break Glass) </t>
  </si>
  <si>
    <t xml:space="preserve">LHD – Fiber System 8000 PFS Series or FP PLUS Fire retardant cables 2mm </t>
  </si>
  <si>
    <t xml:space="preserve">Fire alarms cabling of 1.5mm and all installation accessories </t>
  </si>
  <si>
    <t xml:space="preserve">Addressable Fire detection and alarm Main control panel to support at least 8 loops, LED to show specific zone status, LCD Display </t>
  </si>
  <si>
    <t>Addressable Fire alarm sounder</t>
  </si>
  <si>
    <t>meter</t>
  </si>
  <si>
    <t xml:space="preserve"> Notifications provision (Dealler signal, Adaper &amp; Relay) </t>
  </si>
  <si>
    <t xml:space="preserve">Automatic Fire Suppression System for server room, control room and power House complete with mounting accessories as DSPA/FM200/HFC227 or approved equivalent (registry, ICT, electrical and account control rooms). </t>
  </si>
  <si>
    <t xml:space="preserve">Electric Exit Signage with Backup Battery </t>
  </si>
  <si>
    <t xml:space="preserve">IP Based Digital Mixing Console </t>
  </si>
  <si>
    <t xml:space="preserve">IP Based 8-channels Amplifier </t>
  </si>
  <si>
    <t xml:space="preserve"> Cisco catalyst C9200L-48P-4G-E full POE with minimum of 720 Watts power budget loaded with SFPs for uplink </t>
  </si>
  <si>
    <t xml:space="preserve">30W wall mount horn speaker for outdoor </t>
  </si>
  <si>
    <t xml:space="preserve"> 8W indoor ceiling Mount Speakers </t>
  </si>
  <si>
    <t xml:space="preserve"> Remote Paging Microphone Station with Zone Control and Chimes </t>
  </si>
  <si>
    <t xml:space="preserve">. Volume Controllers </t>
  </si>
  <si>
    <t xml:space="preserve">Fireman's Microphone with ability to pre record the messages </t>
  </si>
  <si>
    <t xml:space="preserve">2 core stranded 2.5mm sq speaker cables </t>
  </si>
  <si>
    <t>A PC with Intel® CoreTM i7-6700k @ 4 GHz, 8 GB of RAM, GbE Network Interface Card, NVIDIA GeForce GTX 1070, SATA II Hard Drive or Better, 240 GB of HDD for OS and Video Management Control Client Application, Microsoft® Windows 10 (64-bit), Dual 32" LED Monitors with Stand  </t>
  </si>
  <si>
    <t xml:space="preserve"> Addressable Fire detection and alarm Main control panel to support at least 6 loops, LED to show specific zone status, LCD Display </t>
  </si>
  <si>
    <t>Addressable Optical Heat detector</t>
  </si>
  <si>
    <t xml:space="preserve">Addressable Fire alarm sounder </t>
  </si>
  <si>
    <t> LHD – Fiber System 8000 PFS Series or FP PLUS Fire retardant cables 2mm</t>
  </si>
  <si>
    <t>Addressable fire detection and alarm repeater control panel; capable of supporting two loops</t>
  </si>
  <si>
    <t xml:space="preserve"> FRAME (SUCTION AND DISCHERGE MANIFOLD, VALVES &amp; FITTINGS ARE INCLUDED) </t>
  </si>
  <si>
    <t xml:space="preserve">Wet Type Fire Hydrant 4” with 2” x 2.5” BRASS Oblique Landing Valve outlet with outlet cap, chain, (control outlet) No. </t>
  </si>
  <si>
    <t xml:space="preserve">Single Compartment Surface/ recess Type EG Sheet Solid DOOR (up to 800 x 800x300) model NF 300 </t>
  </si>
  <si>
    <t xml:space="preserve">Fire delivery Hose Single Jacket 2.5” x 30m mtr RED with all coupling </t>
  </si>
  <si>
    <t xml:space="preserve">OS&amp;Y Gate Valve 65mm Class 125 Flanged, 200 PSI working UL/FM Approved, </t>
  </si>
  <si>
    <t xml:space="preserve">Automatic Air release 65mm FNPT 175 PSI inlet x outlet working UL/FM Approved. </t>
  </si>
  <si>
    <t xml:space="preserve">Check Valve 65mm class 125 flanged, 200 PSI working UL/FM Approved, </t>
  </si>
  <si>
    <t xml:space="preserve">GALVANISED Flange 65mm </t>
  </si>
  <si>
    <t xml:space="preserve">Branch pipe 2 – ½” with BS male Inlet. KITERMARK NF FB 320 </t>
  </si>
  <si>
    <t xml:space="preserve">Automatic Air release 1” FNPT 175 PSI inlet x outlet working UL/FM Approved, </t>
  </si>
  <si>
    <t xml:space="preserve">HDPE TEE 65mm </t>
  </si>
  <si>
    <t xml:space="preserve">HDPE PIPE ”65mm </t>
  </si>
  <si>
    <t xml:space="preserve">Schedule 40 galvanized NON RETURN VALVE 65mm </t>
  </si>
  <si>
    <t xml:space="preserve">Schedule 40 galvanized TEE 65mm x 65mm x 25mm </t>
  </si>
  <si>
    <t xml:space="preserve"> HDPE ELBOW 65mm </t>
  </si>
  <si>
    <t xml:space="preserve">HDPE FLANGE 65mm </t>
  </si>
  <si>
    <t xml:space="preserve">GASKET SEAL 65mm </t>
  </si>
  <si>
    <t xml:space="preserve">Schedule 40 flange 65mm </t>
  </si>
  <si>
    <t xml:space="preserve"> 7BAR Pressure gauge </t>
  </si>
  <si>
    <t>ltr</t>
  </si>
  <si>
    <t>JOTUN bitumen proof Primer and paint</t>
  </si>
  <si>
    <t xml:space="preserve">JOTUN Rust proof primer </t>
  </si>
  <si>
    <t xml:space="preserve">Schedule 40 flange plug 65mm </t>
  </si>
  <si>
    <t xml:space="preserve">Bolts and nut for flange fittings </t>
  </si>
  <si>
    <t>sum</t>
  </si>
  <si>
    <t xml:space="preserve">Addressable Manual call points (Break Glass) </t>
  </si>
  <si>
    <t xml:space="preserve"> Addressable Optical smoke detector </t>
  </si>
  <si>
    <t> Integrated voice alarm and public address system amplifier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</si>
</sst>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Roboto"/>
    </font>
    <font>
      <sz val="11"/>
      <color theme="1"/>
      <name val="Roboto"/>
    </font>
    <font>
      <sz val="10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1" xfId="0" applyFont="1" applyBorder="1"/>
    <xf numFmtId="43" fontId="0" fillId="0" borderId="1" xfId="1" applyFont="1" applyBorder="1"/>
    <xf numFmtId="43" fontId="0" fillId="0" borderId="0" xfId="1" applyFont="1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0" fillId="0" borderId="2" xfId="0" applyBorder="1"/>
    <xf numFmtId="43" fontId="0" fillId="0" borderId="2" xfId="1" applyFont="1" applyBorder="1"/>
    <xf numFmtId="0" fontId="5" fillId="0" borderId="1" xfId="0" applyFont="1" applyBorder="1" applyAlignment="1">
      <alignment horizontal="left" vertical="top"/>
    </xf>
    <xf numFmtId="0" fontId="5" fillId="0" borderId="1" xfId="0" applyFont="1" applyBorder="1"/>
    <xf numFmtId="43" fontId="5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tabSelected="1" topLeftCell="A60" workbookViewId="0">
      <selection activeCell="D71" sqref="D71"/>
    </sheetView>
  </sheetViews>
  <sheetFormatPr defaultRowHeight="15"/>
  <cols>
    <col min="1" max="1" width="52.5703125" customWidth="1"/>
    <col min="2" max="2" width="7.42578125" customWidth="1"/>
    <col min="3" max="3" width="10" bestFit="1" customWidth="1"/>
    <col min="4" max="4" width="19.5703125" customWidth="1"/>
    <col min="5" max="5" width="17.28515625" customWidth="1"/>
  </cols>
  <sheetData>
    <row r="1" spans="1:5">
      <c r="A1" s="1" t="s">
        <v>23</v>
      </c>
      <c r="B1" s="2" t="s">
        <v>0</v>
      </c>
      <c r="C1" s="1" t="s">
        <v>1</v>
      </c>
      <c r="D1" s="3" t="s">
        <v>21</v>
      </c>
      <c r="E1" s="4" t="s">
        <v>22</v>
      </c>
    </row>
    <row r="2" spans="1:5" ht="38.25">
      <c r="A2" s="5" t="s">
        <v>24</v>
      </c>
      <c r="B2" s="6" t="s">
        <v>2</v>
      </c>
      <c r="C2" s="1">
        <v>1</v>
      </c>
      <c r="D2" s="3"/>
      <c r="E2" s="3">
        <f t="shared" ref="E2:E65" si="0">D2*C2</f>
        <v>0</v>
      </c>
    </row>
    <row r="3" spans="1:5" ht="25.5">
      <c r="A3" s="5" t="s">
        <v>25</v>
      </c>
      <c r="B3" s="6" t="s">
        <v>2</v>
      </c>
      <c r="C3" s="1">
        <v>1</v>
      </c>
      <c r="D3" s="3"/>
      <c r="E3" s="3">
        <f t="shared" si="0"/>
        <v>0</v>
      </c>
    </row>
    <row r="4" spans="1:5">
      <c r="A4" s="7" t="s">
        <v>26</v>
      </c>
      <c r="B4" s="6" t="s">
        <v>2</v>
      </c>
      <c r="C4" s="1">
        <v>70</v>
      </c>
      <c r="D4" s="3"/>
      <c r="E4" s="3">
        <f t="shared" si="0"/>
        <v>0</v>
      </c>
    </row>
    <row r="5" spans="1:5">
      <c r="A5" s="8" t="s">
        <v>27</v>
      </c>
      <c r="B5" s="6" t="s">
        <v>2</v>
      </c>
      <c r="C5" s="1">
        <v>15</v>
      </c>
      <c r="D5" s="3"/>
      <c r="E5" s="3">
        <f t="shared" si="0"/>
        <v>0</v>
      </c>
    </row>
    <row r="6" spans="1:5">
      <c r="A6" s="5" t="s">
        <v>28</v>
      </c>
      <c r="B6" s="6" t="s">
        <v>2</v>
      </c>
      <c r="C6" s="1">
        <v>20</v>
      </c>
      <c r="D6" s="3"/>
      <c r="E6" s="3">
        <f t="shared" si="0"/>
        <v>0</v>
      </c>
    </row>
    <row r="7" spans="1:5">
      <c r="A7" s="7" t="s">
        <v>49</v>
      </c>
      <c r="B7" s="6" t="s">
        <v>2</v>
      </c>
      <c r="C7" s="1">
        <v>8</v>
      </c>
      <c r="D7" s="3"/>
      <c r="E7" s="3">
        <f t="shared" si="0"/>
        <v>0</v>
      </c>
    </row>
    <row r="8" spans="1:5" ht="25.5">
      <c r="A8" s="5" t="s">
        <v>29</v>
      </c>
      <c r="B8" s="6" t="s">
        <v>2</v>
      </c>
      <c r="C8" s="1">
        <v>3500</v>
      </c>
      <c r="D8" s="3"/>
      <c r="E8" s="3">
        <f t="shared" si="0"/>
        <v>0</v>
      </c>
    </row>
    <row r="9" spans="1:5">
      <c r="A9" s="5" t="s">
        <v>30</v>
      </c>
      <c r="B9" s="6" t="s">
        <v>2</v>
      </c>
      <c r="C9" s="1">
        <v>1</v>
      </c>
      <c r="D9" s="3"/>
      <c r="E9" s="3">
        <f t="shared" si="0"/>
        <v>0</v>
      </c>
    </row>
    <row r="10" spans="1:5">
      <c r="A10" s="5" t="s">
        <v>3</v>
      </c>
      <c r="B10" s="6" t="s">
        <v>2</v>
      </c>
      <c r="C10" s="1">
        <v>1</v>
      </c>
      <c r="D10" s="3"/>
      <c r="E10" s="3">
        <f t="shared" si="0"/>
        <v>0</v>
      </c>
    </row>
    <row r="11" spans="1:5" ht="38.25">
      <c r="A11" s="5" t="s">
        <v>31</v>
      </c>
      <c r="B11" s="6" t="s">
        <v>2</v>
      </c>
      <c r="C11" s="1">
        <v>2</v>
      </c>
      <c r="D11" s="3"/>
      <c r="E11" s="3">
        <f t="shared" si="0"/>
        <v>0</v>
      </c>
    </row>
    <row r="12" spans="1:5" ht="25.5">
      <c r="A12" s="5" t="s">
        <v>25</v>
      </c>
      <c r="B12" s="6" t="s">
        <v>2</v>
      </c>
      <c r="C12" s="1">
        <v>4</v>
      </c>
      <c r="D12" s="3"/>
      <c r="E12" s="3">
        <f t="shared" si="0"/>
        <v>0</v>
      </c>
    </row>
    <row r="13" spans="1:5">
      <c r="A13" s="8" t="s">
        <v>26</v>
      </c>
      <c r="B13" s="6" t="s">
        <v>2</v>
      </c>
      <c r="C13" s="1">
        <v>250</v>
      </c>
      <c r="D13" s="3"/>
      <c r="E13" s="3">
        <f t="shared" si="0"/>
        <v>0</v>
      </c>
    </row>
    <row r="14" spans="1:5">
      <c r="A14" s="8" t="s">
        <v>27</v>
      </c>
      <c r="B14" s="6" t="s">
        <v>2</v>
      </c>
      <c r="C14" s="1">
        <v>50</v>
      </c>
      <c r="D14" s="3"/>
      <c r="E14" s="3">
        <f t="shared" si="0"/>
        <v>0</v>
      </c>
    </row>
    <row r="15" spans="1:5">
      <c r="A15" s="5" t="s">
        <v>28</v>
      </c>
      <c r="B15" s="6" t="s">
        <v>2</v>
      </c>
      <c r="C15" s="1">
        <v>30</v>
      </c>
      <c r="D15" s="3"/>
      <c r="E15" s="3">
        <f t="shared" si="0"/>
        <v>0</v>
      </c>
    </row>
    <row r="16" spans="1:5">
      <c r="A16" s="8" t="s">
        <v>32</v>
      </c>
      <c r="B16" s="6" t="s">
        <v>2</v>
      </c>
      <c r="C16" s="1">
        <v>35</v>
      </c>
      <c r="D16" s="3"/>
      <c r="E16" s="3">
        <f t="shared" si="0"/>
        <v>0</v>
      </c>
    </row>
    <row r="17" spans="1:5" ht="25.5">
      <c r="A17" s="5" t="s">
        <v>29</v>
      </c>
      <c r="B17" s="9" t="s">
        <v>33</v>
      </c>
      <c r="C17" s="1">
        <v>7500</v>
      </c>
      <c r="D17" s="3"/>
      <c r="E17" s="3">
        <f t="shared" si="0"/>
        <v>0</v>
      </c>
    </row>
    <row r="18" spans="1:5">
      <c r="A18" s="5" t="s">
        <v>30</v>
      </c>
      <c r="B18" s="9" t="s">
        <v>2</v>
      </c>
      <c r="C18" s="1">
        <v>1</v>
      </c>
      <c r="D18" s="3"/>
      <c r="E18" s="3">
        <f t="shared" si="0"/>
        <v>0</v>
      </c>
    </row>
    <row r="19" spans="1:5">
      <c r="A19" s="5" t="s">
        <v>34</v>
      </c>
      <c r="B19" s="9" t="s">
        <v>2</v>
      </c>
      <c r="C19" s="1">
        <v>1</v>
      </c>
      <c r="D19" s="3"/>
      <c r="E19" s="3">
        <f t="shared" si="0"/>
        <v>0</v>
      </c>
    </row>
    <row r="20" spans="1:5" ht="51">
      <c r="A20" s="5" t="s">
        <v>35</v>
      </c>
      <c r="B20" s="9" t="s">
        <v>2</v>
      </c>
      <c r="C20" s="1">
        <v>4</v>
      </c>
      <c r="D20" s="3"/>
      <c r="E20" s="3">
        <f t="shared" si="0"/>
        <v>0</v>
      </c>
    </row>
    <row r="21" spans="1:5">
      <c r="A21" s="8" t="s">
        <v>36</v>
      </c>
      <c r="B21" s="9" t="s">
        <v>2</v>
      </c>
      <c r="C21" s="1">
        <v>45</v>
      </c>
      <c r="D21" s="3"/>
      <c r="E21" s="3">
        <f t="shared" si="0"/>
        <v>0</v>
      </c>
    </row>
    <row r="22" spans="1:5">
      <c r="A22" s="5" t="s">
        <v>79</v>
      </c>
      <c r="B22" s="9" t="s">
        <v>2</v>
      </c>
      <c r="C22" s="1">
        <v>1</v>
      </c>
      <c r="D22" s="3"/>
      <c r="E22" s="3">
        <f t="shared" si="0"/>
        <v>0</v>
      </c>
    </row>
    <row r="23" spans="1:5">
      <c r="A23" s="8" t="s">
        <v>37</v>
      </c>
      <c r="B23" s="9" t="s">
        <v>2</v>
      </c>
      <c r="C23" s="1">
        <v>1</v>
      </c>
      <c r="D23" s="3"/>
      <c r="E23" s="3">
        <f t="shared" si="0"/>
        <v>0</v>
      </c>
    </row>
    <row r="24" spans="1:5">
      <c r="A24" s="8" t="s">
        <v>38</v>
      </c>
      <c r="B24" s="9" t="s">
        <v>2</v>
      </c>
      <c r="C24" s="1">
        <v>2</v>
      </c>
      <c r="D24" s="3"/>
      <c r="E24" s="3">
        <f t="shared" si="0"/>
        <v>0</v>
      </c>
    </row>
    <row r="25" spans="1:5" ht="25.5">
      <c r="A25" s="5" t="s">
        <v>39</v>
      </c>
      <c r="B25" s="9" t="s">
        <v>2</v>
      </c>
      <c r="C25" s="1">
        <v>1</v>
      </c>
      <c r="D25" s="3"/>
      <c r="E25" s="3">
        <f t="shared" si="0"/>
        <v>0</v>
      </c>
    </row>
    <row r="26" spans="1:5">
      <c r="A26" s="8" t="s">
        <v>40</v>
      </c>
      <c r="B26" s="9" t="s">
        <v>2</v>
      </c>
      <c r="C26" s="1">
        <v>16</v>
      </c>
      <c r="D26" s="3"/>
      <c r="E26" s="3">
        <f t="shared" si="0"/>
        <v>0</v>
      </c>
    </row>
    <row r="27" spans="1:5">
      <c r="A27" s="8" t="s">
        <v>41</v>
      </c>
      <c r="B27" s="9" t="s">
        <v>2</v>
      </c>
      <c r="C27" s="1">
        <v>24</v>
      </c>
      <c r="D27" s="3"/>
      <c r="E27" s="3">
        <f t="shared" si="0"/>
        <v>0</v>
      </c>
    </row>
    <row r="28" spans="1:5" ht="25.5">
      <c r="A28" s="5" t="s">
        <v>42</v>
      </c>
      <c r="B28" s="9" t="s">
        <v>2</v>
      </c>
      <c r="C28" s="1">
        <v>2</v>
      </c>
      <c r="D28" s="3"/>
      <c r="E28" s="3">
        <f t="shared" si="0"/>
        <v>0</v>
      </c>
    </row>
    <row r="29" spans="1:5">
      <c r="A29" s="8" t="s">
        <v>43</v>
      </c>
      <c r="B29" s="9" t="s">
        <v>2</v>
      </c>
      <c r="C29" s="1">
        <v>2</v>
      </c>
      <c r="D29" s="3"/>
      <c r="E29" s="3">
        <f t="shared" si="0"/>
        <v>0</v>
      </c>
    </row>
    <row r="30" spans="1:5" ht="25.5">
      <c r="A30" s="5" t="s">
        <v>44</v>
      </c>
      <c r="B30" s="9" t="s">
        <v>2</v>
      </c>
      <c r="C30" s="1">
        <v>6</v>
      </c>
      <c r="D30" s="3"/>
      <c r="E30" s="3">
        <f t="shared" si="0"/>
        <v>0</v>
      </c>
    </row>
    <row r="31" spans="1:5">
      <c r="A31" s="8" t="s">
        <v>45</v>
      </c>
      <c r="B31" s="10" t="s">
        <v>5</v>
      </c>
      <c r="C31" s="1">
        <v>8</v>
      </c>
      <c r="D31" s="3"/>
      <c r="E31" s="3">
        <f t="shared" si="0"/>
        <v>0</v>
      </c>
    </row>
    <row r="32" spans="1:5" ht="63.75">
      <c r="A32" s="5" t="s">
        <v>46</v>
      </c>
      <c r="B32" s="9" t="s">
        <v>2</v>
      </c>
      <c r="C32" s="1">
        <v>1</v>
      </c>
      <c r="D32" s="3"/>
      <c r="E32" s="3">
        <f t="shared" si="0"/>
        <v>0</v>
      </c>
    </row>
    <row r="33" spans="1:5" ht="38.25">
      <c r="A33" s="5" t="s">
        <v>47</v>
      </c>
      <c r="B33" s="9" t="s">
        <v>2</v>
      </c>
      <c r="C33" s="1">
        <v>1</v>
      </c>
      <c r="D33" s="3"/>
      <c r="E33" s="3">
        <f t="shared" si="0"/>
        <v>0</v>
      </c>
    </row>
    <row r="34" spans="1:5" ht="25.5">
      <c r="A34" s="5" t="s">
        <v>25</v>
      </c>
      <c r="B34" s="9" t="s">
        <v>2</v>
      </c>
      <c r="C34" s="1">
        <v>2</v>
      </c>
      <c r="D34" s="3"/>
      <c r="E34" s="3">
        <f t="shared" si="0"/>
        <v>0</v>
      </c>
    </row>
    <row r="35" spans="1:5">
      <c r="A35" s="8" t="s">
        <v>26</v>
      </c>
      <c r="B35" s="9" t="s">
        <v>2</v>
      </c>
      <c r="C35" s="1">
        <v>43</v>
      </c>
      <c r="D35" s="3"/>
      <c r="E35" s="3">
        <f t="shared" si="0"/>
        <v>0</v>
      </c>
    </row>
    <row r="36" spans="1:5">
      <c r="A36" s="8" t="s">
        <v>48</v>
      </c>
      <c r="B36" s="9" t="s">
        <v>2</v>
      </c>
      <c r="C36" s="1">
        <v>12</v>
      </c>
      <c r="D36" s="3"/>
      <c r="E36" s="3">
        <f t="shared" si="0"/>
        <v>0</v>
      </c>
    </row>
    <row r="37" spans="1:5">
      <c r="A37" s="5" t="s">
        <v>28</v>
      </c>
      <c r="B37" s="9" t="s">
        <v>2</v>
      </c>
      <c r="C37" s="1">
        <v>6</v>
      </c>
      <c r="D37" s="3"/>
      <c r="E37" s="3">
        <f t="shared" si="0"/>
        <v>0</v>
      </c>
    </row>
    <row r="38" spans="1:5">
      <c r="A38" s="8" t="s">
        <v>49</v>
      </c>
      <c r="B38" s="9" t="s">
        <v>2</v>
      </c>
      <c r="C38" s="1">
        <v>6</v>
      </c>
      <c r="D38" s="3"/>
      <c r="E38" s="3">
        <f t="shared" si="0"/>
        <v>0</v>
      </c>
    </row>
    <row r="39" spans="1:5" ht="25.5">
      <c r="A39" s="5" t="s">
        <v>50</v>
      </c>
      <c r="B39" s="9" t="s">
        <v>2</v>
      </c>
      <c r="C39" s="1">
        <v>3000</v>
      </c>
      <c r="D39" s="3"/>
      <c r="E39" s="3">
        <f t="shared" si="0"/>
        <v>0</v>
      </c>
    </row>
    <row r="40" spans="1:5">
      <c r="A40" s="8" t="s">
        <v>6</v>
      </c>
      <c r="B40" s="9" t="s">
        <v>2</v>
      </c>
      <c r="C40" s="1">
        <v>1</v>
      </c>
      <c r="D40" s="3"/>
      <c r="E40" s="3">
        <f t="shared" si="0"/>
        <v>0</v>
      </c>
    </row>
    <row r="41" spans="1:5" ht="38.25">
      <c r="A41" s="5" t="s">
        <v>24</v>
      </c>
      <c r="B41" s="9" t="s">
        <v>2</v>
      </c>
      <c r="C41" s="1">
        <v>1</v>
      </c>
      <c r="D41" s="3"/>
      <c r="E41" s="3">
        <f t="shared" si="0"/>
        <v>0</v>
      </c>
    </row>
    <row r="42" spans="1:5" ht="25.5">
      <c r="A42" s="5" t="s">
        <v>51</v>
      </c>
      <c r="B42" s="9" t="s">
        <v>2</v>
      </c>
      <c r="C42" s="1">
        <v>2</v>
      </c>
      <c r="D42" s="3"/>
      <c r="E42" s="3">
        <f t="shared" si="0"/>
        <v>0</v>
      </c>
    </row>
    <row r="43" spans="1:5">
      <c r="A43" s="8" t="s">
        <v>78</v>
      </c>
      <c r="B43" s="9" t="s">
        <v>2</v>
      </c>
      <c r="C43" s="1">
        <v>43</v>
      </c>
      <c r="D43" s="3"/>
      <c r="E43" s="3">
        <f t="shared" si="0"/>
        <v>0</v>
      </c>
    </row>
    <row r="44" spans="1:5">
      <c r="A44" s="8" t="s">
        <v>27</v>
      </c>
      <c r="B44" s="9" t="s">
        <v>2</v>
      </c>
      <c r="C44" s="1">
        <v>12</v>
      </c>
      <c r="D44" s="3"/>
      <c r="E44" s="3">
        <f t="shared" si="0"/>
        <v>0</v>
      </c>
    </row>
    <row r="45" spans="1:5">
      <c r="A45" s="5" t="s">
        <v>77</v>
      </c>
      <c r="B45" s="9" t="s">
        <v>2</v>
      </c>
      <c r="C45" s="1">
        <v>14</v>
      </c>
      <c r="D45" s="3"/>
      <c r="E45" s="3">
        <f t="shared" si="0"/>
        <v>0</v>
      </c>
    </row>
    <row r="46" spans="1:5">
      <c r="A46" s="8" t="s">
        <v>32</v>
      </c>
      <c r="B46" s="9" t="s">
        <v>2</v>
      </c>
      <c r="C46" s="1">
        <v>12</v>
      </c>
      <c r="D46" s="3"/>
      <c r="E46" s="3">
        <f t="shared" si="0"/>
        <v>0</v>
      </c>
    </row>
    <row r="47" spans="1:5" ht="25.5">
      <c r="A47" s="5" t="s">
        <v>29</v>
      </c>
      <c r="B47" s="9" t="s">
        <v>4</v>
      </c>
      <c r="C47" s="1">
        <v>7000</v>
      </c>
      <c r="D47" s="3"/>
      <c r="E47" s="3">
        <f t="shared" si="0"/>
        <v>0</v>
      </c>
    </row>
    <row r="48" spans="1:5" ht="76.5">
      <c r="A48" s="5" t="s">
        <v>7</v>
      </c>
      <c r="B48" s="9"/>
      <c r="C48" s="1">
        <v>1</v>
      </c>
      <c r="D48" s="3"/>
      <c r="E48" s="3">
        <f t="shared" si="0"/>
        <v>0</v>
      </c>
    </row>
    <row r="49" spans="1:5" ht="25.5">
      <c r="A49" s="5" t="s">
        <v>52</v>
      </c>
      <c r="B49" s="9" t="s">
        <v>8</v>
      </c>
      <c r="C49" s="1">
        <v>1</v>
      </c>
      <c r="D49" s="3"/>
      <c r="E49" s="3">
        <f t="shared" si="0"/>
        <v>0</v>
      </c>
    </row>
    <row r="50" spans="1:5" ht="38.25">
      <c r="A50" s="5" t="s">
        <v>53</v>
      </c>
      <c r="B50" s="9" t="s">
        <v>9</v>
      </c>
      <c r="C50" s="1">
        <v>12</v>
      </c>
      <c r="D50" s="3"/>
      <c r="E50" s="3">
        <f t="shared" si="0"/>
        <v>0</v>
      </c>
    </row>
    <row r="51" spans="1:5">
      <c r="A51" s="5" t="s">
        <v>10</v>
      </c>
      <c r="B51" s="9" t="s">
        <v>9</v>
      </c>
      <c r="C51" s="1">
        <v>1</v>
      </c>
      <c r="D51" s="3"/>
      <c r="E51" s="3">
        <f t="shared" si="0"/>
        <v>0</v>
      </c>
    </row>
    <row r="52" spans="1:5" ht="25.5">
      <c r="A52" s="5" t="s">
        <v>54</v>
      </c>
      <c r="B52" s="9" t="s">
        <v>9</v>
      </c>
      <c r="C52" s="1">
        <v>1</v>
      </c>
      <c r="D52" s="3"/>
      <c r="E52" s="3">
        <f t="shared" si="0"/>
        <v>0</v>
      </c>
    </row>
    <row r="53" spans="1:5">
      <c r="A53" s="5" t="s">
        <v>11</v>
      </c>
      <c r="B53" s="9" t="s">
        <v>9</v>
      </c>
      <c r="C53" s="1">
        <v>12</v>
      </c>
      <c r="D53" s="3"/>
      <c r="E53" s="3">
        <f t="shared" si="0"/>
        <v>0</v>
      </c>
    </row>
    <row r="54" spans="1:5" ht="25.5">
      <c r="A54" s="5" t="s">
        <v>55</v>
      </c>
      <c r="B54" s="9" t="s">
        <v>9</v>
      </c>
      <c r="C54" s="1">
        <v>12</v>
      </c>
      <c r="D54" s="3"/>
      <c r="E54" s="3">
        <f t="shared" si="0"/>
        <v>0</v>
      </c>
    </row>
    <row r="55" spans="1:5" ht="25.5">
      <c r="A55" s="5" t="s">
        <v>60</v>
      </c>
      <c r="B55" s="9" t="s">
        <v>9</v>
      </c>
      <c r="C55" s="1">
        <v>12</v>
      </c>
      <c r="D55" s="3"/>
      <c r="E55" s="3">
        <f t="shared" si="0"/>
        <v>0</v>
      </c>
    </row>
    <row r="56" spans="1:5" ht="25.5">
      <c r="A56" s="5" t="s">
        <v>56</v>
      </c>
      <c r="B56" s="9" t="s">
        <v>9</v>
      </c>
      <c r="C56" s="1">
        <v>6</v>
      </c>
      <c r="D56" s="3"/>
      <c r="E56" s="3">
        <f t="shared" si="0"/>
        <v>0</v>
      </c>
    </row>
    <row r="57" spans="1:5">
      <c r="A57" s="5" t="s">
        <v>59</v>
      </c>
      <c r="B57" s="9" t="s">
        <v>9</v>
      </c>
      <c r="C57" s="1">
        <v>50</v>
      </c>
      <c r="D57" s="3"/>
      <c r="E57" s="3">
        <f t="shared" si="0"/>
        <v>0</v>
      </c>
    </row>
    <row r="58" spans="1:5" ht="25.5">
      <c r="A58" s="5" t="s">
        <v>58</v>
      </c>
      <c r="B58" s="9" t="s">
        <v>9</v>
      </c>
      <c r="C58" s="1">
        <v>5</v>
      </c>
      <c r="D58" s="3"/>
      <c r="E58" s="3">
        <f t="shared" si="0"/>
        <v>0</v>
      </c>
    </row>
    <row r="59" spans="1:5" ht="25.5">
      <c r="A59" s="5" t="s">
        <v>57</v>
      </c>
      <c r="B59" s="9" t="s">
        <v>9</v>
      </c>
      <c r="C59" s="1">
        <v>4</v>
      </c>
      <c r="D59" s="3"/>
      <c r="E59" s="3">
        <f t="shared" si="0"/>
        <v>0</v>
      </c>
    </row>
    <row r="60" spans="1:5" ht="25.5">
      <c r="A60" s="5" t="s">
        <v>61</v>
      </c>
      <c r="B60" s="9" t="s">
        <v>9</v>
      </c>
      <c r="C60" s="1">
        <v>1</v>
      </c>
      <c r="D60" s="3"/>
      <c r="E60" s="3">
        <f t="shared" si="0"/>
        <v>0</v>
      </c>
    </row>
    <row r="61" spans="1:5">
      <c r="A61" s="8" t="s">
        <v>62</v>
      </c>
      <c r="B61" s="9" t="s">
        <v>9</v>
      </c>
      <c r="C61" s="1">
        <v>20</v>
      </c>
      <c r="D61" s="3"/>
      <c r="E61" s="3">
        <f t="shared" si="0"/>
        <v>0</v>
      </c>
    </row>
    <row r="62" spans="1:5">
      <c r="A62" s="8" t="s">
        <v>63</v>
      </c>
      <c r="B62" s="9" t="s">
        <v>9</v>
      </c>
      <c r="C62" s="1">
        <v>400</v>
      </c>
      <c r="D62" s="3"/>
      <c r="E62" s="3">
        <f t="shared" si="0"/>
        <v>0</v>
      </c>
    </row>
    <row r="63" spans="1:5">
      <c r="A63" s="8" t="s">
        <v>12</v>
      </c>
      <c r="B63" s="9" t="s">
        <v>9</v>
      </c>
      <c r="C63" s="1">
        <v>400</v>
      </c>
      <c r="D63" s="3"/>
      <c r="E63" s="3">
        <f t="shared" si="0"/>
        <v>0</v>
      </c>
    </row>
    <row r="64" spans="1:5">
      <c r="A64" s="5" t="s">
        <v>13</v>
      </c>
      <c r="B64" s="9" t="s">
        <v>9</v>
      </c>
      <c r="C64" s="1">
        <v>4</v>
      </c>
      <c r="D64" s="3"/>
      <c r="E64" s="3">
        <f t="shared" si="0"/>
        <v>0</v>
      </c>
    </row>
    <row r="65" spans="1:5">
      <c r="A65" s="5" t="s">
        <v>14</v>
      </c>
      <c r="B65" s="9" t="s">
        <v>9</v>
      </c>
      <c r="C65" s="1">
        <v>15</v>
      </c>
      <c r="D65" s="3"/>
      <c r="E65" s="3">
        <f t="shared" si="0"/>
        <v>0</v>
      </c>
    </row>
    <row r="66" spans="1:5">
      <c r="A66" s="5" t="s">
        <v>64</v>
      </c>
      <c r="B66" s="9" t="s">
        <v>9</v>
      </c>
      <c r="C66" s="1">
        <v>2</v>
      </c>
      <c r="D66" s="3"/>
      <c r="E66" s="3">
        <f t="shared" ref="E66:E78" si="1">D66*C66</f>
        <v>0</v>
      </c>
    </row>
    <row r="67" spans="1:5">
      <c r="A67" s="5" t="s">
        <v>65</v>
      </c>
      <c r="B67" s="9" t="s">
        <v>9</v>
      </c>
      <c r="C67" s="1">
        <v>4</v>
      </c>
      <c r="D67" s="3"/>
      <c r="E67" s="3">
        <f t="shared" si="1"/>
        <v>0</v>
      </c>
    </row>
    <row r="68" spans="1:5">
      <c r="A68" s="8" t="s">
        <v>66</v>
      </c>
      <c r="B68" s="9" t="s">
        <v>9</v>
      </c>
      <c r="C68" s="1">
        <v>5</v>
      </c>
      <c r="D68" s="3"/>
      <c r="E68" s="3">
        <f t="shared" si="1"/>
        <v>0</v>
      </c>
    </row>
    <row r="69" spans="1:5">
      <c r="A69" s="8" t="s">
        <v>67</v>
      </c>
      <c r="B69" s="9" t="s">
        <v>9</v>
      </c>
      <c r="C69" s="1">
        <v>30</v>
      </c>
      <c r="D69" s="3"/>
      <c r="E69" s="3">
        <f t="shared" si="1"/>
        <v>0</v>
      </c>
    </row>
    <row r="70" spans="1:5">
      <c r="A70" s="8" t="s">
        <v>68</v>
      </c>
      <c r="B70" s="9" t="s">
        <v>9</v>
      </c>
      <c r="C70" s="1">
        <v>30</v>
      </c>
      <c r="D70" s="3"/>
      <c r="E70" s="3">
        <f t="shared" si="1"/>
        <v>0</v>
      </c>
    </row>
    <row r="71" spans="1:5">
      <c r="A71" s="8" t="s">
        <v>69</v>
      </c>
      <c r="B71" s="9" t="s">
        <v>9</v>
      </c>
      <c r="C71" s="1">
        <v>4</v>
      </c>
      <c r="D71" s="3"/>
      <c r="E71" s="3">
        <f t="shared" si="1"/>
        <v>0</v>
      </c>
    </row>
    <row r="72" spans="1:5">
      <c r="A72" s="8" t="s">
        <v>70</v>
      </c>
      <c r="B72" s="9" t="s">
        <v>9</v>
      </c>
      <c r="C72" s="1">
        <v>6</v>
      </c>
      <c r="D72" s="3"/>
      <c r="E72" s="3">
        <f t="shared" si="1"/>
        <v>0</v>
      </c>
    </row>
    <row r="73" spans="1:5">
      <c r="A73" s="8" t="s">
        <v>72</v>
      </c>
      <c r="B73" s="9" t="s">
        <v>71</v>
      </c>
      <c r="C73" s="1">
        <v>200</v>
      </c>
      <c r="D73" s="3"/>
      <c r="E73" s="3">
        <f t="shared" si="1"/>
        <v>0</v>
      </c>
    </row>
    <row r="74" spans="1:5">
      <c r="A74" s="8" t="s">
        <v>73</v>
      </c>
      <c r="B74" s="9" t="s">
        <v>71</v>
      </c>
      <c r="C74" s="1">
        <v>200</v>
      </c>
      <c r="D74" s="3"/>
      <c r="E74" s="3">
        <f t="shared" si="1"/>
        <v>0</v>
      </c>
    </row>
    <row r="75" spans="1:5">
      <c r="A75" s="8" t="s">
        <v>74</v>
      </c>
      <c r="B75" s="9" t="s">
        <v>9</v>
      </c>
      <c r="C75" s="1">
        <v>10</v>
      </c>
      <c r="D75" s="3"/>
      <c r="E75" s="3">
        <f t="shared" si="1"/>
        <v>0</v>
      </c>
    </row>
    <row r="76" spans="1:5">
      <c r="A76" s="8" t="s">
        <v>15</v>
      </c>
      <c r="B76" s="9" t="s">
        <v>8</v>
      </c>
      <c r="C76" s="1">
        <v>1</v>
      </c>
      <c r="D76" s="3"/>
      <c r="E76" s="3">
        <f t="shared" si="1"/>
        <v>0</v>
      </c>
    </row>
    <row r="77" spans="1:5">
      <c r="A77" s="8" t="s">
        <v>75</v>
      </c>
      <c r="B77" s="9" t="s">
        <v>9</v>
      </c>
      <c r="C77" s="11">
        <v>900</v>
      </c>
      <c r="D77" s="12"/>
      <c r="E77" s="3">
        <f t="shared" si="1"/>
        <v>0</v>
      </c>
    </row>
    <row r="78" spans="1:5">
      <c r="A78" s="8" t="s">
        <v>16</v>
      </c>
      <c r="B78" s="10" t="s">
        <v>76</v>
      </c>
      <c r="C78" s="1">
        <v>1</v>
      </c>
      <c r="D78" s="3"/>
      <c r="E78" s="3">
        <f t="shared" si="1"/>
        <v>0</v>
      </c>
    </row>
    <row r="79" spans="1:5">
      <c r="A79" s="8" t="s">
        <v>17</v>
      </c>
      <c r="B79" s="10" t="s">
        <v>76</v>
      </c>
      <c r="C79" s="1">
        <v>1</v>
      </c>
      <c r="D79" s="3"/>
      <c r="E79" s="3">
        <f>D79*C79</f>
        <v>0</v>
      </c>
    </row>
    <row r="80" spans="1:5">
      <c r="A80" s="13" t="s">
        <v>18</v>
      </c>
      <c r="B80" s="14"/>
      <c r="C80" s="14"/>
      <c r="D80" s="15"/>
      <c r="E80" s="15">
        <f>SUM(E2:E79)</f>
        <v>0</v>
      </c>
    </row>
    <row r="81" spans="1:5">
      <c r="A81" s="14" t="s">
        <v>19</v>
      </c>
      <c r="B81" s="14"/>
      <c r="C81" s="14"/>
      <c r="D81" s="15"/>
      <c r="E81" s="15">
        <f>18%*E80</f>
        <v>0</v>
      </c>
    </row>
    <row r="82" spans="1:5">
      <c r="A82" s="14" t="s">
        <v>20</v>
      </c>
      <c r="B82" s="14"/>
      <c r="C82" s="14"/>
      <c r="D82" s="15"/>
      <c r="E82" s="15">
        <f>SUM(E80:E81)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MR.ELECTRICAL</dc:creator>
  <cp:lastModifiedBy>MR.ELECTRICAL</cp:lastModifiedBy>
  <dcterms:created xsi:type="dcterms:W3CDTF">2025-02-25T10:45:16Z</dcterms:created>
  <dcterms:modified xsi:type="dcterms:W3CDTF">2025-02-25T10:54:12Z</dcterms:modified>
</cp:coreProperties>
</file>